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dgp_simulations\chart_correto\"/>
    </mc:Choice>
  </mc:AlternateContent>
  <xr:revisionPtr revIDLastSave="0" documentId="13_ncr:1_{C15CF68B-FC46-4A29-85D3-47FCD00230EC}" xr6:coauthVersionLast="47" xr6:coauthVersionMax="47" xr10:uidLastSave="{00000000-0000-0000-0000-000000000000}"/>
  <bookViews>
    <workbookView xWindow="-108" yWindow="-108" windowWidth="23256" windowHeight="12576" xr2:uid="{0D8E60DA-A312-46A2-B581-559070D51EEB}"/>
  </bookViews>
  <sheets>
    <sheet name="Donor Selection Table" sheetId="6" r:id="rId1"/>
    <sheet name="Sheet1" sheetId="4" state="veryHidden" r:id="rId2"/>
    <sheet name="Outcome Chart" sheetId="5" r:id="rId3"/>
    <sheet name="Config" sheetId="3" state="veryHidden" r:id="rId4"/>
  </sheets>
  <definedNames>
    <definedName name="FilePath">Config!$A$1</definedName>
  </definedNames>
  <calcPr calcId="191029"/>
  <pivotCaches>
    <pivotCache cacheId="5" r:id="rId5"/>
    <pivotCache cacheId="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3" l="1" a="1"/>
  <c r="A1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DD1B9D-E07F-43F1-AF8C-8B29D43A787F}" keepAlive="1" name="Query - chart_data" description="Connection to the 'chart_data' query in the workbook." type="5" refreshedVersion="8" background="1">
    <dbPr connection="Provider=Microsoft.Mashup.OleDb.1;Data Source=$Workbook$;Location=chart_data;Extended Properties=&quot;&quot;" command="SELECT * FROM [chart_data]"/>
  </connection>
  <connection id="2" xr16:uid="{B9F45828-4025-4E2B-9A2F-9CBF96D73453}" keepAlive="1" name="Query - solutions" description="Connection to the 'solutions' query in the workbook." type="5" refreshedVersion="8" background="1">
    <dbPr connection="Provider=Microsoft.Mashup.OleDb.1;Data Source=$Workbook$;Location=solutions;Extended Properties=&quot;&quot;" command="SELECT * FROM [solution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<sst xmlns="http://schemas.openxmlformats.org/spreadsheetml/2006/main" count="20" uniqueCount="18">
  <si>
    <t>error_valid</t>
  </si>
  <si>
    <t>error_train</t>
  </si>
  <si>
    <t>cycle</t>
  </si>
  <si>
    <t>trial</t>
  </si>
  <si>
    <t>timeid</t>
  </si>
  <si>
    <t>treatment</t>
  </si>
  <si>
    <t>error_post_intervention</t>
  </si>
  <si>
    <t>error_pre_intervention</t>
  </si>
  <si>
    <t>solution_id</t>
  </si>
  <si>
    <t>outcome</t>
  </si>
  <si>
    <t>Sum of final_value</t>
  </si>
  <si>
    <t>max_weight_train</t>
  </si>
  <si>
    <t>gram_cond_train</t>
  </si>
  <si>
    <t>num_units_on_attipw_support_train</t>
  </si>
  <si>
    <t>gram_cond_pre</t>
  </si>
  <si>
    <t>Count of unitid</t>
  </si>
  <si>
    <t>stat_power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</si>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</sst>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chartsheet" Target="chartsheets/sheet1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eetMetadata" Target="metadata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[scm_donor_selection_candidate_units_data.xlsx]Sheet1!PivotTable1</c:name>
    <c:fmtId val="3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ysClr val="windowText" lastClr="000000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ysClr val="windowText" lastClr="000000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9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9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9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7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7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7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9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9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9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ysClr val="windowText" lastClr="000000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ysClr val="windowText" lastClr="000000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ysClr val="windowText" lastClr="000000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ysClr val="windowText" lastClr="000000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ysClr val="windowText" lastClr="000000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ysClr val="windowText" lastClr="000000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ysClr val="windowText" lastClr="000000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ysClr val="windowText" lastClr="000000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ysClr val="windowText" lastClr="000000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ysClr val="windowText" lastClr="000000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ysClr val="windowText" lastClr="000000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ysClr val="windowText" lastClr="000000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34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34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34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39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39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39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44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44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44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49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49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49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4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54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54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63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63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6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68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68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6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73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73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7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78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78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7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83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83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8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8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8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8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92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92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9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9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9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9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98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98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9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93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93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9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88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88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8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84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84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84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ysClr val="windowText" lastClr="000000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3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3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3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ysClr val="windowText" lastClr="000000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79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79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79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69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69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69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64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64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64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59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59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59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5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5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5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4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4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4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74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74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74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4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4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4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82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82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8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83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83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8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ysClr val="windowText" lastClr="000000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48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48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4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ysClr val="windowText" lastClr="000000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34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34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34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39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39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39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44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44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44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48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48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4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3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53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5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62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62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6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6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6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6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72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72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7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81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81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81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3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3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3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9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9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9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9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9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9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9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9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9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91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91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91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82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82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8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72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72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7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68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68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6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63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63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6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54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54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54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49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49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49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44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44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44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9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9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9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9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9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9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9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9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9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91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91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91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82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82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8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72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72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7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68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68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6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63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63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6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54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54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54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49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49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49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44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44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44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39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39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39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48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48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4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6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6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6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9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9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9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9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9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9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ysClr val="windowText" lastClr="000000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ysClr val="windowText" lastClr="000000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68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68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6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49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49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49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1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4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4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4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2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61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61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61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3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4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92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92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9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5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93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93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9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6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7"/>
        <c:spPr>
          <a:ln w="31750" cap="rnd">
            <a:solidFill>
              <a:sysClr val="windowText" lastClr="000000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4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4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4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ysClr val="windowText" lastClr="000000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8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62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62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6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9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3457327"/>
        <c:axId val="1233457807"/>
      </c:lineChart>
      <c:catAx>
        <c:axId val="12334573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3457807"/>
        <c:crosses val="autoZero"/>
        <c:auto val="1"/>
        <c:lblAlgn val="ctr"/>
        <c:lblOffset val="100"/>
        <c:noMultiLvlLbl val="0"/>
      </c:catAx>
      <c:valAx>
        <c:axId val="123345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345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C9DABD9-94A8-44D6-8F07-8CF9EBC7DCE4}">
  <sheetPr codeName="Chart4"/>
  <sheetViews>
    <sheetView zoomScale="8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7422" cy="62796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30C4AA-6D81-37D3-FD71-1E74092A562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ederico" refreshedDate="46013.484973148152" backgroundQuery="1" missingItemsLimit="0" createdVersion="8" refreshedVersion="8" minRefreshableVersion="3" recordCount="0" xr:uid="{075FAF15-A0A8-41F3-A657-A275875AEA61}">
  <cacheSource type="external" connectionId="2"/>
  <cacheFields count="15">
    <cacheField name="treatment" numFmtId="0">
      <sharedItems containsSemiMixedTypes="0" containsString="0"/>
    </cacheField>
    <cacheField name="unitid" numFmtId="0">
      <sharedItems containsSemiMixedTypes="0" containsString="0"/>
    </cacheField>
    <cacheField name="weight" numFmtId="0">
      <sharedItems containsSemiMixedTypes="0" containsString="0"/>
    </cacheField>
    <cacheField name="cycle" numFmtId="0">
      <sharedItems containsSemiMixedTypes="0" containsString="0"/>
    </cacheField>
    <cacheField name="trial" numFmtId="0">
      <sharedItems containsSemiMixedTypes="0" containsString="0"/>
    </cacheField>
    <cacheField name="solution_id" numFmtId="0">
      <sharedItems containsSemiMixedTypes="0" containsString="0"/>
    </cacheField>
    <cacheField name="num_units_on_attipw_support_train" numFmtId="0">
      <sharedItems containsSemiMixedTypes="0" containsString="0"/>
    </cacheField>
    <cacheField name="gram_cond_train" numFmtId="0">
      <sharedItems containsSemiMixedTypes="0" containsString="0"/>
    </cacheField>
    <cacheField name="max_weight_train" numFmtId="0">
      <sharedItems containsSemiMixedTypes="0" containsString="0"/>
    </cacheField>
    <cacheField name="error_train" numFmtId="0">
      <sharedItems containsSemiMixedTypes="0" containsString="0"/>
    </cacheField>
    <cacheField name="error_valid" numFmtId="0">
      <sharedItems containsSemiMixedTypes="0" containsString="0"/>
    </cacheField>
    <cacheField name="error_pre_intervention" numFmtId="0">
      <sharedItems containsSemiMixedTypes="0" containsString="0"/>
    </cacheField>
    <cacheField name="error_post_intervention" numFmtId="0">
      <sharedItems containsSemiMixedTypes="0" containsString="0"/>
    </cacheField>
    <cacheField name="stat_power" numFmtId="0">
      <sharedItems containsSemiMixedTypes="0" containsString="0"/>
    </cacheField>
    <cacheField name="gram_cond_pre" numFmtId="0">
      <sharedItems containsSemiMixedTypes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ederico" refreshedDate="46013.484973495368" backgroundQuery="1" missingItemsLimit="0" createdVersion="8" refreshedVersion="8" minRefreshableVersion="3" recordCount="0" xr:uid="{63FE1F52-91A8-4D38-9146-DBA385043A99}">
  <cacheSource type="external" connectionId="1"/>
  <cacheFields count="21">
    <cacheField name="outcome" numFmtId="0">
      <sharedItems containsSemiMixedTypes="0" containsString="0"/>
    </cacheField>
    <cacheField name="timeid" numFmtId="0">
      <sharedItems containsSemiMixedTypes="0" containsString="0"/>
    </cacheField>
    <cacheField name="value" numFmtId="0">
      <sharedItems containsSemiMixedTypes="0" containsString="0"/>
    </cacheField>
    <cacheField name="treatment" numFmtId="0">
      <sharedItems containsSemiMixedTypes="0" containsString="0"/>
    </cacheField>
    <cacheField name="weight" numFmtId="0">
      <sharedItems containsSemiMixedTypes="0" containsString="0"/>
    </cacheField>
    <cacheField name="unitid" numFmtId="0">
      <sharedItems containsSemiMixedTypes="0" containsString="0"/>
    </cacheField>
    <cacheField name="valor_m_weight" numFmtId="0">
      <sharedItems containsSemiMixedTypes="0" containsString="0"/>
    </cacheField>
    <cacheField name="id" numFmtId="0">
      <sharedItems containsSemiMixedTypes="0" containsString="0"/>
    </cacheField>
    <cacheField name="cycle" numFmtId="0">
      <sharedItems containsSemiMixedTypes="0" containsString="0"/>
    </cacheField>
    <cacheField name="trial" numFmtId="0">
      <sharedItems containsSemiMixedTypes="0" containsString="0"/>
    </cacheField>
    <cacheField name="solution_id" numFmtId="0">
      <sharedItems containsSemiMixedTypes="0" containsString="0"/>
    </cacheField>
    <cacheField name="num_units_on_attipw_support_train" numFmtId="0">
      <sharedItems containsSemiMixedTypes="0" containsString="0"/>
    </cacheField>
    <cacheField name="gram_cond_train" numFmtId="0">
      <sharedItems containsSemiMixedTypes="0" containsString="0"/>
    </cacheField>
    <cacheField name="max_weight_train" numFmtId="0">
      <sharedItems containsSemiMixedTypes="0" containsString="0"/>
    </cacheField>
    <cacheField name="error_train" numFmtId="0">
      <sharedItems containsSemiMixedTypes="0" containsString="0"/>
    </cacheField>
    <cacheField name="error_valid" numFmtId="0">
      <sharedItems containsSemiMixedTypes="0" containsString="0"/>
    </cacheField>
    <cacheField name="error_pre_intervention" numFmtId="0">
      <sharedItems containsSemiMixedTypes="0" containsString="0"/>
    </cacheField>
    <cacheField name="error_post_intervention" numFmtId="0">
      <sharedItems containsSemiMixedTypes="0" containsString="0"/>
    </cacheField>
    <cacheField name="stat_power" numFmtId="0">
      <sharedItems containsSemiMixedTypes="0" containsString="0"/>
    </cacheField>
    <cacheField name="gram_cond_pre" numFmtId="0">
      <sharedItems containsSemiMixedTypes="0" containsString="0"/>
    </cacheField>
    <cacheField name="final_value" numFmtId="0" formula="valor_m_weight/weight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0"/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0"/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9B53F2-AAF4-43F3-A678-C248355DAE34}" name="PivotTable1" cacheId="5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fieldListSortAscending="1">
  <location ref="A1:N1" firstHeaderRow="1" firstDataRow="1" firstDataCol="13"/>
  <pivotFields count="15">
    <pivotField axis="axisRow" compact="0" outline="0" showAll="0" sortType="de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3">
    <field x="0"/>
    <field x="5"/>
    <field x="13"/>
    <field x="12"/>
    <field x="11"/>
    <field x="10"/>
    <field x="9"/>
    <field x="6"/>
    <field x="7"/>
    <field x="8"/>
    <field x="14"/>
    <field x="3"/>
    <field x="4"/>
  </rowFields>
  <dataFields count="1">
    <dataField name="Count of unit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F351E9-B198-40D5-B5B5-2758F2BB8773}" name="PivotTable1" cacheId="7" applyNumberFormats="0" applyBorderFormats="0" applyFontFormats="0" applyPatternFormats="0" applyAlignmentFormats="0" applyWidthHeightFormats="1" dataCaption="Values" updatedVersion="8" minRefreshableVersion="3" rowGrandTotals="0" itemPrintTitles="1" createdVersion="8" indent="0" compact="0" compactData="0" multipleFieldFilters="0" chartFormat="18" fieldListSortAscending="1">
  <location ref="A5:C7" firstHeaderRow="1" firstDataRow="3" firstDataCol="1" rowPageCount="1" colPageCount="1"/>
  <pivotFields count="21">
    <pivotField axis="axisPage" compact="0" outline="0" showAll="0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sortType="a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multipleItemSelectionAllowed="1" showAll="0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a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colFields count="2">
    <field x="3"/>
    <field x="10"/>
  </colFields>
  <pageFields count="1">
    <pageField fld="0" hier="-1"/>
  </pageFields>
  <dataFields count="1">
    <dataField name="Sum of final_value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Blue Green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4454A-FC01-4A07-81D0-F0A7D9ADB0E9}">
  <dimension ref="A1:N1"/>
  <sheetViews>
    <sheetView tabSelected="1" zoomScaleNormal="100" workbookViewId="0">
      <pane ySplit="1" topLeftCell="A2" activePane="bottomLeft" state="frozen"/>
      <selection pane="bottomLeft" activeCell="H17" sqref="H17"/>
    </sheetView>
  </sheetViews>
  <sheetFormatPr defaultRowHeight="14.4" x14ac:dyDescent="0.3"/>
  <cols>
    <col min="1" max="1" width="11.5546875" bestFit="1" customWidth="1"/>
    <col min="2" max="3" width="12.33203125" bestFit="1" customWidth="1"/>
    <col min="4" max="4" width="12.5546875" customWidth="1"/>
    <col min="5" max="5" width="11.6640625" customWidth="1"/>
    <col min="6" max="6" width="12.109375" bestFit="1" customWidth="1"/>
    <col min="7" max="7" width="11.88671875" bestFit="1" customWidth="1"/>
    <col min="8" max="8" width="33.109375" bestFit="1" customWidth="1"/>
    <col min="9" max="9" width="17.109375" bestFit="1" customWidth="1"/>
    <col min="10" max="10" width="17.77734375" bestFit="1" customWidth="1"/>
    <col min="11" max="11" width="16" bestFit="1" customWidth="1"/>
    <col min="12" max="12" width="8.6640625" bestFit="1" customWidth="1"/>
    <col min="13" max="13" width="6.6640625" bestFit="1" customWidth="1"/>
    <col min="14" max="14" width="13.109375" bestFit="1" customWidth="1"/>
  </cols>
  <sheetData>
    <row r="1" spans="1:14" x14ac:dyDescent="0.3">
      <c r="A1" s="1" t="s">
        <v>5</v>
      </c>
      <c r="B1" s="1" t="s">
        <v>8</v>
      </c>
      <c r="C1" s="1" t="s">
        <v>16</v>
      </c>
      <c r="D1" s="1" t="s">
        <v>6</v>
      </c>
      <c r="E1" s="1" t="s">
        <v>7</v>
      </c>
      <c r="F1" s="1" t="s">
        <v>0</v>
      </c>
      <c r="G1" s="1" t="s">
        <v>1</v>
      </c>
      <c r="H1" s="1" t="s">
        <v>13</v>
      </c>
      <c r="I1" s="1" t="s">
        <v>12</v>
      </c>
      <c r="J1" s="1" t="s">
        <v>11</v>
      </c>
      <c r="K1" s="1" t="s">
        <v>14</v>
      </c>
      <c r="L1" s="1" t="s">
        <v>2</v>
      </c>
      <c r="M1" s="1" t="s">
        <v>3</v>
      </c>
      <c r="N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BCA99-3C33-4615-A6CB-2E08ECE7823D}">
  <sheetPr codeName="Sheet3"/>
  <dimension ref="A3:C7"/>
  <sheetViews>
    <sheetView workbookViewId="0">
      <selection activeCell="D15" sqref="D15"/>
    </sheetView>
  </sheetViews>
  <sheetFormatPr defaultRowHeight="14.4" x14ac:dyDescent="0.3"/>
  <cols>
    <col min="1" max="1" width="11.5546875" bestFit="1" customWidth="1"/>
    <col min="2" max="2" width="14.77734375" customWidth="1"/>
    <col min="3" max="3" width="14.109375" customWidth="1"/>
    <col min="4" max="4" width="13.21875" customWidth="1"/>
    <col min="5" max="6" width="13.6640625" bestFit="1" customWidth="1"/>
    <col min="8" max="8" width="15.33203125" customWidth="1"/>
    <col min="9" max="9" width="8.109375" bestFit="1" customWidth="1"/>
    <col min="10" max="10" width="12.33203125" bestFit="1" customWidth="1"/>
    <col min="11" max="11" width="9.77734375" bestFit="1" customWidth="1"/>
  </cols>
  <sheetData>
    <row r="3" spans="1:3" x14ac:dyDescent="0.3">
      <c r="A3" s="1" t="s">
        <v>9</v>
      </c>
      <c r="B3" t="s">
        <v>17</v>
      </c>
    </row>
    <row r="5" spans="1:3" x14ac:dyDescent="0.3">
      <c r="A5" s="1" t="s">
        <v>10</v>
      </c>
      <c r="B5" s="1" t="s">
        <v>5</v>
      </c>
      <c r="C5" s="1" t="s">
        <v>8</v>
      </c>
    </row>
    <row r="7" spans="1:3" x14ac:dyDescent="0.3">
      <c r="A7" s="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138E4-06B4-4A4D-97B5-562346DBC0EF}">
  <sheetPr codeName="Sheet2"/>
  <dimension ref="A1"/>
  <sheetViews>
    <sheetView workbookViewId="0"/>
  </sheetViews>
  <sheetFormatPr defaultRowHeight="14.4" x14ac:dyDescent="0.3"/>
  <sheetData>
    <row r="1" spans="1:1" x14ac:dyDescent="0.3">
      <c r="A1" t="str" cm="1">
        <f t="array" aca="1" ref="A1" ca="1">LEFT(CELL("filename", A1), FIND("[", CELL("filename", A1)) - 1)</f>
        <v>C:\dgp_simulations\chart_correto\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EA55CD-278A-4F29-864C-5EF6749BD4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Donor Selection Table</vt:lpstr>
      <vt:lpstr>Outcome Chart</vt:lpstr>
      <vt:lpstr>FilePath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Nogueira</dc:creator>
  <cp:lastModifiedBy>Frederico Nogueira</cp:lastModifiedBy>
  <dcterms:created xsi:type="dcterms:W3CDTF">2025-06-19T15:36:56Z</dcterms:created>
  <dcterms:modified xsi:type="dcterms:W3CDTF">2025-12-22T14:38:23Z</dcterms:modified>
</cp:coreProperties>
</file>