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test_propensitygbdt_scm_donor_selection\"/>
    </mc:Choice>
  </mc:AlternateContent>
  <xr:revisionPtr revIDLastSave="0" documentId="13_ncr:1_{E4B648F9-EABD-48F4-859D-A0AC1CD76206}" xr6:coauthVersionLast="47" xr6:coauthVersionMax="47" xr10:uidLastSave="{00000000-0000-0000-0000-000000000000}"/>
  <bookViews>
    <workbookView xWindow="-108" yWindow="-108" windowWidth="23256" windowHeight="12576" xr2:uid="{0D8E60DA-A312-46A2-B581-559070D51EEB}"/>
  </bookViews>
  <sheets>
    <sheet name="Donor Selection Table" sheetId="6" r:id="rId1"/>
    <sheet name="Sheet1" sheetId="4" state="veryHidden" r:id="rId2"/>
    <sheet name="Outcome Chart" sheetId="5" r:id="rId3"/>
    <sheet name="Config" sheetId="3" state="veryHidden" r:id="rId4"/>
  </sheets>
  <definedNames>
    <definedName name="FilePath">Config!$A$1</definedName>
  </definedNames>
  <calcPr calcId="191029"/>
  <pivotCaches>
    <pivotCache cacheId="36" r:id="rId5"/>
    <pivotCache cacheId="38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DD1B9D-E07F-43F1-AF8C-8B29D43A787F}" keepAlive="1" name="Query - chart_data" description="Connection to the 'chart_data' query in the workbook." type="5" refreshedVersion="8" background="1">
    <dbPr connection="Provider=Microsoft.Mashup.OleDb.1;Data Source=$Workbook$;Location=chart_data;Extended Properties=&quot;&quot;" command="SELECT * FROM [chart_data]"/>
  </connection>
  <connection id="2" xr16:uid="{B9F45828-4025-4E2B-9A2F-9CBF96D73453}" keepAlive="1" name="Query - solutions" description="Connection to the 'solutions' query in the workbook." type="5" refreshedVersion="8" background="1">
    <dbPr connection="Provider=Microsoft.Mashup.OleDb.1;Data Source=$Workbook$;Location=solutions;Extended Properties=&quot;&quot;" command="SELECT * FROM [solution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<sst xmlns="http://schemas.openxmlformats.org/spreadsheetml/2006/main" count="21" uniqueCount="18">
  <si>
    <t>error_valid</t>
  </si>
  <si>
    <t>error_train</t>
  </si>
  <si>
    <t>Count of id</t>
  </si>
  <si>
    <t>cycle</t>
  </si>
  <si>
    <t>trial</t>
  </si>
  <si>
    <t>timeid</t>
  </si>
  <si>
    <t>treatment</t>
  </si>
  <si>
    <t>error_post_intervention</t>
  </si>
  <si>
    <t>error_pre_intervention</t>
  </si>
  <si>
    <t>impact_score</t>
  </si>
  <si>
    <t>solution_id</t>
  </si>
  <si>
    <t>outcome</t>
  </si>
  <si>
    <t>(All)</t>
  </si>
  <si>
    <t>Sum of final_value</t>
  </si>
  <si>
    <t>max_weight_train</t>
  </si>
  <si>
    <t>gram_cond_train</t>
  </si>
  <si>
    <t>num_units_on_attipw_support_train</t>
  </si>
  <si>
    <t>gram_cond_pre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</si>
</sst>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chartsheet" Target="chartsheets/sheet1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[scm_donor_selection_candidate_units_data.xlsx]Sheet1!PivotTable1</c:name>
    <c:fmtId val="3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3457327"/>
        <c:axId val="1233457807"/>
      </c:lineChart>
      <c:catAx>
        <c:axId val="12334573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3457807"/>
        <c:crosses val="autoZero"/>
        <c:auto val="1"/>
        <c:lblAlgn val="ctr"/>
        <c:lblOffset val="100"/>
        <c:noMultiLvlLbl val="0"/>
      </c:catAx>
      <c:valAx>
        <c:axId val="123345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3457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C9DABD9-94A8-44D6-8F07-8CF9EBC7DCE4}">
  <sheetPr codeName="Chart4"/>
  <sheetViews>
    <sheetView zoomScale="8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7422" cy="62796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30C4AA-6D81-37D3-FD71-1E74092A562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5987.7016224537" backgroundQuery="1" missingItemsLimit="0" createdVersion="8" refreshedVersion="8" minRefreshableVersion="3" recordCount="0" xr:uid="{63FE1F52-91A8-4D38-9146-DBA385043A99}">
  <cacheSource type="external" connectionId="1"/>
  <cacheFields count="21">
    <cacheField name="outcome" numFmtId="0">
      <sharedItems containsSemiMixedTypes="0" containsString="0"/>
    </cacheField>
    <cacheField name="timeid" numFmtId="0">
      <sharedItems containsSemiMixedTypes="0" containsString="0"/>
    </cacheField>
    <cacheField name="value" numFmtId="0">
      <sharedItems containsSemiMixedTypes="0" containsString="0"/>
    </cacheField>
    <cacheField name="treatment" numFmtId="0">
      <sharedItems containsSemiMixedTypes="0" containsString="0"/>
    </cacheField>
    <cacheField name="weight" numFmtId="0">
      <sharedItems containsSemiMixedTypes="0" containsString="0"/>
    </cacheField>
    <cacheField name="unitid" numFmtId="0">
      <sharedItems containsSemiMixedTypes="0" containsString="0"/>
    </cacheField>
    <cacheField name="valor_m_weight" numFmtId="0">
      <sharedItems containsSemiMixedTypes="0" containsString="0"/>
    </cacheField>
    <cacheField name="id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num_units_on_attipw_support_train" numFmtId="0">
      <sharedItems containsSemiMixedTypes="0" containsString="0"/>
    </cacheField>
    <cacheField name="gram_cond_train" numFmtId="0">
      <sharedItems containsSemiMixedTypes="0" containsString="0"/>
    </cacheField>
    <cacheField name="max_weight_train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gram_cond_pre" numFmtId="0">
      <sharedItems containsSemiMixedTypes="0" containsString="0"/>
    </cacheField>
    <cacheField name="final_value" numFmtId="0" formula="valor_m_weight/weight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5987.7016224537" backgroundQuery="1" createdVersion="8" refreshedVersion="8" minRefreshableVersion="3" recordCount="0" xr:uid="{075FAF15-A0A8-41F3-A657-A275875AEA61}">
  <cacheSource type="external" connectionId="2"/>
  <cacheFields count="14">
    <cacheField name="id" numFmtId="0">
      <sharedItems containsSemiMixedTypes="0" containsString="0"/>
    </cacheField>
    <cacheField name="treatment" numFmtId="0">
      <sharedItems containsSemiMixedTypes="0" containsString="0" containsNumber="1" containsInteger="1" minValue="0" maxValue="1" count="2">
        <n v="1" u="1"/>
        <n v="0" u="1"/>
      </sharedItems>
    </cacheField>
    <cacheField name="cycle" numFmtId="0">
      <sharedItems containsSemiMixedTypes="0" containsString="0" containsNumber="1" containsInteger="1" minValue="1" maxValue="1" count="1">
        <n v="1" u="1"/>
      </sharedItems>
    </cacheField>
    <cacheField name="trial" numFmtId="0">
      <sharedItems containsSemiMixedTypes="0" containsString="0" containsNumber="1" containsInteger="1" minValue="5" maxValue="255" count="10">
        <n v="5" u="1"/>
        <n v="14" u="1"/>
        <n v="15" u="1"/>
        <n v="34" u="1"/>
        <n v="47" u="1"/>
        <n v="68" u="1"/>
        <n v="110" u="1"/>
        <n v="154" u="1"/>
        <n v="244" u="1"/>
        <n v="255" u="1"/>
      </sharedItems>
    </cacheField>
    <cacheField name="solution_id" numFmtId="0">
      <sharedItems containsSemiMixedTypes="0" containsString="0"/>
    </cacheField>
    <cacheField name="num_units_on_attipw_support_train" numFmtId="0">
      <sharedItems containsSemiMixedTypes="0" containsString="0" containsNumber="1" containsInteger="1" minValue="8" maxValue="19" count="7">
        <n v="8" u="1"/>
        <n v="10" u="1"/>
        <n v="11" u="1"/>
        <n v="17" u="1"/>
        <n v="19" u="1"/>
        <n v="9" u="1"/>
        <n v="18" u="1"/>
      </sharedItems>
    </cacheField>
    <cacheField name="gram_cond_train" numFmtId="0">
      <sharedItems containsSemiMixedTypes="0" containsString="0" containsNumber="1" minValue="131.30000000000001" maxValue="468.8" count="10">
        <n v="202.1" u="1"/>
        <n v="164.4" u="1"/>
        <n v="233.4" u="1"/>
        <n v="468.8" u="1"/>
        <n v="137.6" u="1"/>
        <n v="234.1" u="1"/>
        <n v="385.9" u="1"/>
        <n v="131.30000000000001" u="1"/>
        <n v="185.8" u="1"/>
        <n v="257.5" u="1"/>
      </sharedItems>
    </cacheField>
    <cacheField name="max_weight_train" numFmtId="0">
      <sharedItems containsSemiMixedTypes="0" containsString="0" containsNumber="1" minValue="0.27" maxValue="0.46" count="10">
        <n v="0.44" u="1"/>
        <n v="0.42" u="1"/>
        <n v="0.27" u="1"/>
        <n v="0.43" u="1"/>
        <n v="0.39" u="1"/>
        <n v="0.41" u="1"/>
        <n v="0.4" u="1"/>
        <n v="0.46" u="1"/>
        <n v="0.35" u="1"/>
        <n v="0.3" u="1"/>
      </sharedItems>
    </cacheField>
    <cacheField name="error_train" numFmtId="0">
      <sharedItems containsSemiMixedTypes="0" containsString="0" containsNumber="1" minValue="0.10100000000000001" maxValue="0.153" count="7">
        <n v="0.153" u="1"/>
        <n v="0.121" u="1"/>
        <n v="0.11700000000000001" u="1"/>
        <n v="0.112" u="1"/>
        <n v="0.10100000000000001" u="1"/>
        <n v="0.13" u="1"/>
        <n v="0.13900000000000001" u="1"/>
      </sharedItems>
    </cacheField>
    <cacheField name="error_valid" numFmtId="0">
      <sharedItems containsSemiMixedTypes="0" containsString="0" containsNumber="1" minValue="2.9000000000000001E-2" maxValue="0.12" count="10">
        <n v="0.111" u="1"/>
        <n v="4.1000000000000002E-2" u="1"/>
        <n v="2.9000000000000001E-2" u="1"/>
        <n v="3.5999999999999997E-2" u="1"/>
        <n v="5.8000000000000003E-2" u="1"/>
        <n v="9.8000000000000004E-2" u="1"/>
        <n v="5.3999999999999999E-2" u="1"/>
        <n v="3.9E-2" u="1"/>
        <n v="3.4000000000000002E-2" u="1"/>
        <n v="0.12" u="1"/>
      </sharedItems>
    </cacheField>
    <cacheField name="error_pre_intervention" numFmtId="0">
      <sharedItems containsSemiMixedTypes="0" containsString="0" containsNumber="1" minValue="9.2999999999999999E-2" maxValue="0.14499999999999999" count="8">
        <n v="0.14499999999999999" u="1"/>
        <n v="0.108" u="1"/>
        <n v="0.104" u="1"/>
        <n v="0.1" u="1"/>
        <n v="9.2999999999999999E-2" u="1"/>
        <n v="0.123" u="1"/>
        <n v="0.11" u="1"/>
        <n v="0.13500000000000001" u="1"/>
      </sharedItems>
    </cacheField>
    <cacheField name="error_post_intervention" numFmtId="0">
      <sharedItems containsSemiMixedTypes="0" containsString="0" containsNumber="1" minValue="0.153" maxValue="0.20899999999999999" count="10">
        <n v="0.183" u="1"/>
        <n v="0.19" u="1"/>
        <n v="0.17499999999999999" u="1"/>
        <n v="0.153" u="1"/>
        <n v="0.20899999999999999" u="1"/>
        <n v="0.19800000000000001" u="1"/>
        <n v="0.17799999999999999" u="1"/>
        <n v="0.154" u="1"/>
        <n v="0.18099999999999999" u="1"/>
        <n v="0.192" u="1"/>
      </sharedItems>
    </cacheField>
    <cacheField name="impact_score" numFmtId="0">
      <sharedItems containsSemiMixedTypes="0" containsString="0" containsNumber="1" minValue="0.96750000000000003" maxValue="1" count="7">
        <n v="0.96750000000000003" u="1"/>
        <n v="1" u="1"/>
        <n v="0.99990000000000001" u="1"/>
        <n v="0.99980000000000002" u="1"/>
        <n v="0.98819999999999997" u="1"/>
        <n v="0.99950000000000006" u="1"/>
        <n v="0.96919999999999995" u="1"/>
      </sharedItems>
    </cacheField>
    <cacheField name="gram_cond_pre" numFmtId="0">
      <sharedItems containsSemiMixedTypes="0" containsString="0" containsNumber="1" minValue="26.3" maxValue="71.599999999999994" count="10">
        <n v="71.599999999999994" u="1"/>
        <n v="45.4" u="1"/>
        <n v="55.7" u="1"/>
        <n v="64.3" u="1"/>
        <n v="41.3" u="1"/>
        <n v="26.9" u="1"/>
        <n v="26.3" u="1"/>
        <n v="38.799999999999997" u="1"/>
        <n v="52.3" u="1"/>
        <n v="30.6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9B53F2-AAF4-43F3-A678-C248355DAE34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fieldListSortAscending="1">
  <location ref="A1:M1" firstHeaderRow="1" firstDataRow="1" firstDataCol="12"/>
  <pivotFields count="14"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">
        <item m="1" x="0"/>
        <item m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">
        <item m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m="1" x="0"/>
        <item m="1" x="1"/>
        <item m="1" x="2"/>
        <item m="1" x="3"/>
        <item m="1" x="4"/>
        <item m="1" x="5"/>
        <item m="1" x="6"/>
        <item m="1" x="7"/>
        <item m="1" x="8"/>
        <item m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m="1" x="0"/>
        <item m="1" x="5"/>
        <item m="1" x="1"/>
        <item m="1" x="2"/>
        <item m="1" x="3"/>
        <item m="1" x="6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m="1" x="7"/>
        <item m="1" x="4"/>
        <item m="1" x="1"/>
        <item m="1" x="8"/>
        <item m="1" x="0"/>
        <item m="1" x="2"/>
        <item m="1" x="5"/>
        <item m="1" x="9"/>
        <item m="1" x="6"/>
        <item m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m="1" x="2"/>
        <item m="1" x="9"/>
        <item m="1" x="8"/>
        <item m="1" x="4"/>
        <item m="1" x="6"/>
        <item m="1" x="5"/>
        <item m="1" x="1"/>
        <item m="1" x="3"/>
        <item m="1" x="0"/>
        <item m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m="1" x="4"/>
        <item m="1" x="3"/>
        <item m="1" x="2"/>
        <item m="1" x="1"/>
        <item m="1" x="5"/>
        <item m="1" x="6"/>
        <item m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m="1" x="2"/>
        <item m="1" x="8"/>
        <item m="1" x="3"/>
        <item m="1" x="7"/>
        <item m="1" x="1"/>
        <item m="1" x="6"/>
        <item m="1" x="4"/>
        <item m="1" x="5"/>
        <item m="1" x="0"/>
        <item m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m="1" x="4"/>
        <item m="1" x="3"/>
        <item m="1" x="2"/>
        <item m="1" x="1"/>
        <item m="1" x="6"/>
        <item m="1" x="5"/>
        <item m="1" x="7"/>
        <item m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m="1" x="3"/>
        <item m="1" x="7"/>
        <item m="1" x="2"/>
        <item m="1" x="6"/>
        <item m="1" x="8"/>
        <item m="1" x="0"/>
        <item m="1" x="1"/>
        <item m="1" x="9"/>
        <item m="1" x="5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m="1" x="0"/>
        <item m="1" x="6"/>
        <item m="1" x="4"/>
        <item m="1" x="5"/>
        <item m="1" x="3"/>
        <item m="1" x="2"/>
        <item m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m="1" x="6"/>
        <item m="1" x="5"/>
        <item m="1" x="9"/>
        <item m="1" x="7"/>
        <item m="1" x="4"/>
        <item m="1" x="1"/>
        <item m="1" x="8"/>
        <item m="1" x="2"/>
        <item m="1" x="3"/>
        <item m="1" x="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2">
    <field x="1"/>
    <field x="12"/>
    <field x="11"/>
    <field x="10"/>
    <field x="9"/>
    <field x="8"/>
    <field x="5"/>
    <field x="6"/>
    <field x="7"/>
    <field x="13"/>
    <field x="2"/>
    <field x="3"/>
  </rowFields>
  <dataFields count="1">
    <dataField name="Count of id" fld="0" subtotal="count" baseField="3" baseItem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F351E9-B198-40D5-B5B5-2758F2BB8773}" name="PivotTable1" cacheId="36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compact="0" compactData="0" multipleFieldFilters="0" chartFormat="18" fieldListSortAscending="1">
  <location ref="A5:C7" firstHeaderRow="1" firstDataRow="3" firstDataCol="1" rowPageCount="2" colPageCount="1"/>
  <pivotFields count="21"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multipleItemSelectionAllowed="1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colFields count="2">
    <field x="3"/>
    <field x="10"/>
  </colFields>
  <pageFields count="2">
    <pageField fld="0" hier="-1"/>
    <pageField fld="18" hier="-1"/>
  </pageFields>
  <dataFields count="1">
    <dataField name="Sum of final_value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Blue Green">
      <a:dk1>
        <a:sysClr val="windowText" lastClr="000000"/>
      </a:dk1>
      <a:lt1>
        <a:sysClr val="window" lastClr="FFFFFF"/>
      </a:lt1>
      <a:dk2>
        <a:srgbClr val="373545"/>
      </a:dk2>
      <a:lt2>
        <a:srgbClr val="CEDBE6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9F6715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4454A-FC01-4A07-81D0-F0A7D9ADB0E9}">
  <dimension ref="A1:M1"/>
  <sheetViews>
    <sheetView tabSelected="1" workbookViewId="0">
      <selection activeCell="G19" sqref="G19"/>
    </sheetView>
  </sheetViews>
  <sheetFormatPr defaultRowHeight="14.4" x14ac:dyDescent="0.3"/>
  <cols>
    <col min="1" max="1" width="15.33203125" bestFit="1" customWidth="1"/>
    <col min="2" max="2" width="14.5546875" bestFit="1" customWidth="1"/>
    <col min="3" max="7" width="11.6640625" customWidth="1"/>
    <col min="8" max="8" width="17.109375" bestFit="1" customWidth="1"/>
    <col min="9" max="9" width="13.21875" customWidth="1"/>
    <col min="10" max="10" width="16" bestFit="1" customWidth="1"/>
    <col min="11" max="11" width="8.109375" bestFit="1" customWidth="1"/>
    <col min="12" max="12" width="6.6640625" bestFit="1" customWidth="1"/>
    <col min="13" max="13" width="9.77734375" bestFit="1" customWidth="1"/>
  </cols>
  <sheetData>
    <row r="1" spans="1:13" x14ac:dyDescent="0.3">
      <c r="A1" s="1" t="s">
        <v>6</v>
      </c>
      <c r="B1" s="1" t="s">
        <v>9</v>
      </c>
      <c r="C1" s="1" t="s">
        <v>7</v>
      </c>
      <c r="D1" s="1" t="s">
        <v>8</v>
      </c>
      <c r="E1" s="1" t="s">
        <v>0</v>
      </c>
      <c r="F1" s="1" t="s">
        <v>1</v>
      </c>
      <c r="G1" s="1" t="s">
        <v>16</v>
      </c>
      <c r="H1" s="1" t="s">
        <v>15</v>
      </c>
      <c r="I1" s="1" t="s">
        <v>14</v>
      </c>
      <c r="J1" s="1" t="s">
        <v>17</v>
      </c>
      <c r="K1" s="1" t="s">
        <v>3</v>
      </c>
      <c r="L1" s="1" t="s">
        <v>4</v>
      </c>
      <c r="M1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BCA99-3C33-4615-A6CB-2E08ECE7823D}">
  <sheetPr codeName="Sheet3"/>
  <dimension ref="A2:C7"/>
  <sheetViews>
    <sheetView workbookViewId="0">
      <selection activeCell="D15" sqref="D15"/>
    </sheetView>
  </sheetViews>
  <sheetFormatPr defaultRowHeight="14.4" x14ac:dyDescent="0.3"/>
  <cols>
    <col min="1" max="1" width="11.5546875" bestFit="1" customWidth="1"/>
    <col min="2" max="2" width="14.77734375" customWidth="1"/>
    <col min="3" max="3" width="14.109375" customWidth="1"/>
    <col min="4" max="4" width="13.21875" customWidth="1"/>
    <col min="5" max="6" width="13.6640625" bestFit="1" customWidth="1"/>
    <col min="8" max="8" width="15.33203125" customWidth="1"/>
    <col min="9" max="9" width="8.109375" bestFit="1" customWidth="1"/>
    <col min="10" max="10" width="12.33203125" bestFit="1" customWidth="1"/>
    <col min="11" max="11" width="9.77734375" bestFit="1" customWidth="1"/>
  </cols>
  <sheetData>
    <row r="2" spans="1:3" x14ac:dyDescent="0.3">
      <c r="A2" s="1" t="s">
        <v>11</v>
      </c>
      <c r="B2" t="s">
        <v>12</v>
      </c>
    </row>
    <row r="3" spans="1:3" x14ac:dyDescent="0.3">
      <c r="A3" s="1" t="s">
        <v>9</v>
      </c>
      <c r="B3" t="s">
        <v>12</v>
      </c>
    </row>
    <row r="5" spans="1:3" x14ac:dyDescent="0.3">
      <c r="A5" s="1" t="s">
        <v>13</v>
      </c>
      <c r="B5" s="1" t="s">
        <v>6</v>
      </c>
      <c r="C5" s="1" t="s">
        <v>10</v>
      </c>
    </row>
    <row r="7" spans="1:3" x14ac:dyDescent="0.3">
      <c r="A7" s="1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38E4-06B4-4A4D-97B5-562346DBC0EF}">
  <sheetPr codeName="Sheet2"/>
  <dimension ref="A1"/>
  <sheetViews>
    <sheetView workbookViewId="0"/>
  </sheetViews>
  <sheetFormatPr defaultRowHeight="14.4" x14ac:dyDescent="0.3"/>
  <sheetData>
    <row r="1" spans="1:1" x14ac:dyDescent="0.3">
      <c r="A1" t="str" cm="1">
        <f t="array" aca="1" ref="A1" ca="1">LEFT(CELL("filename", A1), FIND("[", CELL("filename", A1)) - 1)</f>
        <v>C:\test_propensitygbdt_scm_donor_selection\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EA55CD-278A-4F29-864C-5EF6749BD4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Donor Selection Table</vt:lpstr>
      <vt:lpstr>Outcome Chart</vt:lpstr>
      <vt:lpstr>FilePath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Frederico Nogueira</dc:creator>
  <cp:lastModifiedBy>Frederico Nogueira</cp:lastModifiedBy>
  <dcterms:created xsi:type="dcterms:W3CDTF">2025-06-19T15:36:56Z</dcterms:created>
  <dcterms:modified xsi:type="dcterms:W3CDTF">2025-11-26T21:50:21Z</dcterms:modified>
</cp:coreProperties>
</file>